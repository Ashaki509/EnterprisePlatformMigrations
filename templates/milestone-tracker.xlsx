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ak\Downloads\"/>
    </mc:Choice>
  </mc:AlternateContent>
  <xr:revisionPtr revIDLastSave="0" documentId="8_{5EAFEE7A-1C51-4D1B-BC27-B2B7AF8A0E96}" xr6:coauthVersionLast="47" xr6:coauthVersionMax="47" xr10:uidLastSave="{00000000-0000-0000-0000-000000000000}"/>
  <bookViews>
    <workbookView xWindow="-120" yWindow="-120" windowWidth="24240" windowHeight="13020" xr2:uid="{A6E19D95-A0BF-46FB-90CA-707F58674488}"/>
  </bookViews>
  <sheets>
    <sheet name="Timeline &amp; Milestone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F3" i="1"/>
  <c r="H3" i="1"/>
  <c r="J3" i="1"/>
  <c r="L3" i="1"/>
  <c r="N3" i="1"/>
</calcChain>
</file>

<file path=xl/sharedStrings.xml><?xml version="1.0" encoding="utf-8"?>
<sst xmlns="http://schemas.openxmlformats.org/spreadsheetml/2006/main" count="350" uniqueCount="178">
  <si>
    <t>█</t>
  </si>
  <si>
    <t>Final deliverable</t>
  </si>
  <si>
    <t>Task 26</t>
  </si>
  <si>
    <t>Not Started</t>
  </si>
  <si>
    <t>Week 20</t>
  </si>
  <si>
    <t>Week 19</t>
  </si>
  <si>
    <t>High</t>
  </si>
  <si>
    <t>Program Manager</t>
  </si>
  <si>
    <t>Executive close-out report</t>
  </si>
  <si>
    <t>Stabilization</t>
  </si>
  <si>
    <t>◆</t>
  </si>
  <si>
    <t>Capture lessons learned</t>
  </si>
  <si>
    <t>Task 25</t>
  </si>
  <si>
    <t>Medium</t>
  </si>
  <si>
    <t>Project retrospective</t>
  </si>
  <si>
    <t>Requires exec sign-off</t>
  </si>
  <si>
    <t>Task 24</t>
  </si>
  <si>
    <t>Week 18</t>
  </si>
  <si>
    <t>Cloud Eng.</t>
  </si>
  <si>
    <t>Decommission legacy environment</t>
  </si>
  <si>
    <t>Reduce to on-call only if stable</t>
  </si>
  <si>
    <t>Task 23</t>
  </si>
  <si>
    <t>Week 17</t>
  </si>
  <si>
    <t>Technical Lead</t>
  </si>
  <si>
    <t>Hypercare monitoring (Week 2)</t>
  </si>
  <si>
    <t>Daily standups; war room on standby</t>
  </si>
  <si>
    <t>Task 22</t>
  </si>
  <si>
    <t>Week 16</t>
  </si>
  <si>
    <t>Hypercare monitoring (Week 1)</t>
  </si>
  <si>
    <t>All systems green</t>
  </si>
  <si>
    <t>Task 21</t>
  </si>
  <si>
    <t>Week 15</t>
  </si>
  <si>
    <t>Critical</t>
  </si>
  <si>
    <t>Tech Lead + Business</t>
  </si>
  <si>
    <t>Wave 3 validation and business sign-off</t>
  </si>
  <si>
    <t>Execution</t>
  </si>
  <si>
    <t>Final wave</t>
  </si>
  <si>
    <t>Task 20</t>
  </si>
  <si>
    <t>Execute Wave 3 (final) migration</t>
  </si>
  <si>
    <t>1-week gap from Wave 1</t>
  </si>
  <si>
    <t>Task 19</t>
  </si>
  <si>
    <t>Week 14</t>
  </si>
  <si>
    <t>Execute Wave 2 production migration</t>
  </si>
  <si>
    <t>Within 4 hrs of cutover close</t>
  </si>
  <si>
    <t>Task 18</t>
  </si>
  <si>
    <t>Week 13</t>
  </si>
  <si>
    <t>Tech Lead + Data Eng.</t>
  </si>
  <si>
    <t>Wave 1 validation and sign-off</t>
  </si>
  <si>
    <t>Overnight window preferred</t>
  </si>
  <si>
    <t>Task 17</t>
  </si>
  <si>
    <t>Execute Wave 1 production migration</t>
  </si>
  <si>
    <t>Per communication plan</t>
  </si>
  <si>
    <t>Task 16</t>
  </si>
  <si>
    <t>Comms Lead</t>
  </si>
  <si>
    <t>Send T–72h stakeholder notifications</t>
  </si>
  <si>
    <t>Decision: proceed / defer / cancel</t>
  </si>
  <si>
    <t>Task 15</t>
  </si>
  <si>
    <t>Week 12</t>
  </si>
  <si>
    <t>Exec. Sponsor</t>
  </si>
  <si>
    <t>Gate review: approve production waves</t>
  </si>
  <si>
    <t>Pilot</t>
  </si>
  <si>
    <t>Gate 3 — approval to proceed</t>
  </si>
  <si>
    <t>Tasks 12–14</t>
  </si>
  <si>
    <t>Update runbooks with pilot learnings</t>
  </si>
  <si>
    <t>Business sign-off required</t>
  </si>
  <si>
    <t>Task 12</t>
  </si>
  <si>
    <t>Week 11</t>
  </si>
  <si>
    <t>QA Lead</t>
  </si>
  <si>
    <t>User acceptance testing (UAT)</t>
  </si>
  <si>
    <t>Checksum + row count reconciliation</t>
  </si>
  <si>
    <t>Data Engineer</t>
  </si>
  <si>
    <t>Data integrity validation post-pilot</t>
  </si>
  <si>
    <t>Limited blast radius</t>
  </si>
  <si>
    <t>Task 11</t>
  </si>
  <si>
    <t>Week 10</t>
  </si>
  <si>
    <t>Execute Wave 0 pilot migration</t>
  </si>
  <si>
    <t>Mirrors production subset</t>
  </si>
  <si>
    <t>Task 10</t>
  </si>
  <si>
    <t>Week 9</t>
  </si>
  <si>
    <t>Configure pilot environment (Wave 0)</t>
  </si>
  <si>
    <t>Gate 2 — blocker for pilot</t>
  </si>
  <si>
    <t>Tasks 6–9</t>
  </si>
  <si>
    <t>Week 8</t>
  </si>
  <si>
    <t>Week 7</t>
  </si>
  <si>
    <t>Legal / CISO</t>
  </si>
  <si>
    <t>Legal / compliance review gate</t>
  </si>
  <si>
    <t>Planning</t>
  </si>
  <si>
    <t>Coordinate with infra and ops</t>
  </si>
  <si>
    <t>Task 6</t>
  </si>
  <si>
    <t>Week 6</t>
  </si>
  <si>
    <t>Schedule migration windows</t>
  </si>
  <si>
    <t>Use Comms Plan sheet</t>
  </si>
  <si>
    <t>Task 3</t>
  </si>
  <si>
    <t>Week 5</t>
  </si>
  <si>
    <t>Create stakeholder communication plan</t>
  </si>
  <si>
    <t>Document in runbook header</t>
  </si>
  <si>
    <t>Task 5</t>
  </si>
  <si>
    <t>Tech Lead + Eng. Mgr</t>
  </si>
  <si>
    <t>Define go/no-go criteria</t>
  </si>
  <si>
    <t>One runbook per wave</t>
  </si>
  <si>
    <t>Develop migration runbooks (all waves)</t>
  </si>
  <si>
    <t>Gate 1 — must complete before planning</t>
  </si>
  <si>
    <t>Tasks 1–4</t>
  </si>
  <si>
    <t>Week 4</t>
  </si>
  <si>
    <t>Executive sponsor scope sign-off</t>
  </si>
  <si>
    <t>Discovery</t>
  </si>
  <si>
    <t>Complete Risk Matrix sheet</t>
  </si>
  <si>
    <t>Task 2</t>
  </si>
  <si>
    <t>Week 2</t>
  </si>
  <si>
    <t>Prog. Manager + Tech Lead</t>
  </si>
  <si>
    <t>Risk assessment and scoring</t>
  </si>
  <si>
    <t>Schedule within first 2 weeks</t>
  </si>
  <si>
    <t>Task 1</t>
  </si>
  <si>
    <t>Prog. Manager</t>
  </si>
  <si>
    <t>Stakeholder interviews &amp; requirements</t>
  </si>
  <si>
    <t>Dependency scanner tool</t>
  </si>
  <si>
    <t>Week 3</t>
  </si>
  <si>
    <t>Week 1</t>
  </si>
  <si>
    <t>Inventory current-state systems</t>
  </si>
  <si>
    <t>Kick-off meeting completed</t>
  </si>
  <si>
    <t>Define migration scope and objectives</t>
  </si>
  <si>
    <t>W20</t>
  </si>
  <si>
    <t>W19</t>
  </si>
  <si>
    <t>W18</t>
  </si>
  <si>
    <t>W17</t>
  </si>
  <si>
    <t>W16</t>
  </si>
  <si>
    <t>W15</t>
  </si>
  <si>
    <t>W14</t>
  </si>
  <si>
    <t>W13</t>
  </si>
  <si>
    <t>W12</t>
  </si>
  <si>
    <t>W11</t>
  </si>
  <si>
    <t>W10</t>
  </si>
  <si>
    <t>W9</t>
  </si>
  <si>
    <t>W8</t>
  </si>
  <si>
    <t>W7</t>
  </si>
  <si>
    <t>W6</t>
  </si>
  <si>
    <t>W5</t>
  </si>
  <si>
    <t>W4</t>
  </si>
  <si>
    <t>W3</t>
  </si>
  <si>
    <t>W2</t>
  </si>
  <si>
    <t>W1</t>
  </si>
  <si>
    <t>Wk 20</t>
  </si>
  <si>
    <t>Wk 19</t>
  </si>
  <si>
    <t>Wk 18</t>
  </si>
  <si>
    <t>Wk 17</t>
  </si>
  <si>
    <t>Wk 16</t>
  </si>
  <si>
    <t>Wk 15</t>
  </si>
  <si>
    <t>Wk 14</t>
  </si>
  <si>
    <t>Wk 13</t>
  </si>
  <si>
    <t>Wk 12</t>
  </si>
  <si>
    <t>Wk 11</t>
  </si>
  <si>
    <t>Wk 10</t>
  </si>
  <si>
    <t>Wk 9</t>
  </si>
  <si>
    <t>Wk 8</t>
  </si>
  <si>
    <t>Wk 7</t>
  </si>
  <si>
    <t>Wk 6</t>
  </si>
  <si>
    <t>Wk 5</t>
  </si>
  <si>
    <t>Wk 4</t>
  </si>
  <si>
    <t>Wk 3</t>
  </si>
  <si>
    <t>Wk 2</t>
  </si>
  <si>
    <t>Wk 1</t>
  </si>
  <si>
    <t>Notes / Blockers</t>
  </si>
  <si>
    <t>Dependencies</t>
  </si>
  <si>
    <t>Status</t>
  </si>
  <si>
    <t>% Complete</t>
  </si>
  <si>
    <t>Duration
(Days)</t>
  </si>
  <si>
    <t>Actual End</t>
  </si>
  <si>
    <t>Actual Start</t>
  </si>
  <si>
    <t>Planned End</t>
  </si>
  <si>
    <t>Planned Start</t>
  </si>
  <si>
    <t>Priority</t>
  </si>
  <si>
    <t>Owner</t>
  </si>
  <si>
    <t>Task / Milestone</t>
  </si>
  <si>
    <t>Phase</t>
  </si>
  <si>
    <t>#</t>
  </si>
  <si>
    <t>SUMMARY DASHBOARD</t>
  </si>
  <si>
    <t>Update % Complete and Actual Start/End dates as work progresses. Status auto-updates. Compatible with import to Jira (CSV) and Smartsheet.</t>
  </si>
  <si>
    <t>ENTERPRISE PLATFORM MIGRATION — TIMELINE &amp; MILESTONE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</si>
</sst>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"/>
    </font>
    <font>
      <sz val="8"/>
      <color rgb="FF4B2E6B"/>
      <name val="Calibri"/>
      <charset val="1"/>
    </font>
    <font>
      <sz val="8"/>
      <color rgb="FFD9D9D9"/>
      <name val="Calibri"/>
      <charset val="1"/>
    </font>
    <font>
      <sz val="9"/>
      <color rgb="FF000000"/>
      <name val="Calibri"/>
      <charset val="1"/>
    </font>
    <font>
      <i/>
      <sz val="9"/>
      <color rgb="FF595959"/>
      <name val="Calibri"/>
      <charset val="1"/>
    </font>
    <font>
      <sz val="10"/>
      <color rgb="FF000000"/>
      <name val="Calibri"/>
      <charset val="1"/>
    </font>
    <font>
      <b/>
      <sz val="9"/>
      <color rgb="FFFFFFFF"/>
      <name val="Calibri"/>
      <charset val="1"/>
    </font>
    <font>
      <sz val="8"/>
      <color rgb="FF833C00"/>
      <name val="Calibri"/>
      <charset val="1"/>
    </font>
    <font>
      <b/>
      <sz val="9"/>
      <color rgb="FF000000"/>
      <name val="Calibri"/>
      <charset val="1"/>
    </font>
    <font>
      <sz val="8"/>
      <color rgb="FF7E4F00"/>
      <name val="Calibri"/>
      <charset val="1"/>
    </font>
    <font>
      <sz val="8"/>
      <color rgb="FF375623"/>
      <name val="Calibri"/>
      <charset val="1"/>
    </font>
    <font>
      <sz val="8"/>
      <color rgb="FF2F5496"/>
      <name val="Calibri"/>
      <charset val="1"/>
    </font>
    <font>
      <sz val="8"/>
      <color rgb="FF595959"/>
      <name val="Calibri"/>
      <charset val="1"/>
    </font>
    <font>
      <b/>
      <sz val="12"/>
      <color rgb="FF2F5496"/>
      <name val="Calibri"/>
      <charset val="1"/>
    </font>
    <font>
      <b/>
      <sz val="12"/>
      <color rgb="FF375623"/>
      <name val="Calibri"/>
      <charset val="1"/>
    </font>
    <font>
      <b/>
      <sz val="12"/>
      <color rgb="FFC00000"/>
      <name val="Calibri"/>
      <charset val="1"/>
    </font>
    <font>
      <b/>
      <sz val="12"/>
      <color rgb="FF7E4F00"/>
      <name val="Calibri"/>
      <charset val="1"/>
    </font>
    <font>
      <b/>
      <sz val="12"/>
      <color rgb="FF000080"/>
      <name val="Calibri"/>
      <charset val="1"/>
    </font>
    <font>
      <b/>
      <sz val="10"/>
      <color rgb="FFFFFFFF"/>
      <name val="Calibri"/>
      <charset val="1"/>
    </font>
    <font>
      <i/>
      <sz val="10"/>
      <color rgb="FF595959"/>
      <name val="Calibri"/>
      <charset val="1"/>
    </font>
    <font>
      <b/>
      <sz val="14"/>
      <color rgb="FFFFFFFF"/>
      <name val="Calibri"/>
      <charset val="1"/>
    </font>
  </fonts>
  <fills count="20">
    <fill>
      <patternFill patternType="none"/>
    </fill>
    <fill>
      <patternFill patternType="gray125"/>
    </fill>
    <fill>
      <patternFill patternType="solid">
        <fgColor rgb="FFE8F0FE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8D5E8"/>
        <bgColor rgb="FFD9D9D9"/>
      </patternFill>
    </fill>
    <fill>
      <patternFill patternType="solid">
        <fgColor rgb="FFD9D9D9"/>
        <bgColor rgb="FFE8D5E8"/>
      </patternFill>
    </fill>
    <fill>
      <patternFill patternType="solid">
        <fgColor rgb="FFFFEB9C"/>
        <bgColor rgb="FFFFE6CC"/>
      </patternFill>
    </fill>
    <fill>
      <patternFill patternType="solid">
        <fgColor rgb="FF4B2E6B"/>
        <bgColor rgb="FF1F3864"/>
      </patternFill>
    </fill>
    <fill>
      <patternFill patternType="solid">
        <fgColor rgb="FFE2EFDA"/>
        <bgColor rgb="FFDEEAF1"/>
      </patternFill>
    </fill>
    <fill>
      <patternFill patternType="solid">
        <fgColor rgb="FFFFDFD6"/>
        <bgColor rgb="FFFFE6CC"/>
      </patternFill>
    </fill>
    <fill>
      <patternFill patternType="solid">
        <fgColor rgb="FF833C00"/>
        <bgColor rgb="FF7E3100"/>
      </patternFill>
    </fill>
    <fill>
      <patternFill patternType="solid">
        <fgColor rgb="FFFFE6CC"/>
        <bgColor rgb="FFFFDFD6"/>
      </patternFill>
    </fill>
    <fill>
      <patternFill patternType="solid">
        <fgColor rgb="FF7E4F00"/>
        <bgColor rgb="FF833C00"/>
      </patternFill>
    </fill>
    <fill>
      <patternFill patternType="solid">
        <fgColor rgb="FFFFF2CC"/>
        <bgColor rgb="FFFFE6CC"/>
      </patternFill>
    </fill>
    <fill>
      <patternFill patternType="solid">
        <fgColor rgb="FF375623"/>
        <bgColor rgb="FF595959"/>
      </patternFill>
    </fill>
    <fill>
      <patternFill patternType="solid">
        <fgColor rgb="FFD5E8D4"/>
        <bgColor rgb="FFE2EFDA"/>
      </patternFill>
    </fill>
    <fill>
      <patternFill patternType="solid">
        <fgColor rgb="FFD6E4F7"/>
        <bgColor rgb="FFDEEAF1"/>
      </patternFill>
    </fill>
    <fill>
      <patternFill patternType="solid">
        <fgColor rgb="FF2F5496"/>
        <bgColor rgb="FF1F3864"/>
      </patternFill>
    </fill>
    <fill>
      <patternFill patternType="solid">
        <fgColor rgb="FFDEEAF1"/>
        <bgColor rgb="FFD6E4F7"/>
      </patternFill>
    </fill>
    <fill>
      <patternFill patternType="solid">
        <fgColor rgb="FF1F3864"/>
        <bgColor rgb="FF4B2E6B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wrapText="1"/>
    </xf>
    <xf numFmtId="9" fontId="3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 wrapText="1"/>
    </xf>
    <xf numFmtId="9" fontId="3" fillId="13" borderId="1" xfId="0" applyNumberFormat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 wrapText="1"/>
    </xf>
    <xf numFmtId="9" fontId="3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left" vertical="center"/>
    </xf>
    <xf numFmtId="0" fontId="5" fillId="15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 wrapText="1"/>
    </xf>
    <xf numFmtId="9" fontId="3" fillId="16" borderId="1" xfId="0" applyNumberFormat="1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left" vertical="center" wrapText="1"/>
    </xf>
    <xf numFmtId="0" fontId="6" fillId="17" borderId="1" xfId="0" applyFont="1" applyFill="1" applyBorder="1" applyAlignment="1">
      <alignment horizontal="center" vertical="center"/>
    </xf>
    <xf numFmtId="0" fontId="12" fillId="18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 vertical="center" wrapText="1"/>
    </xf>
    <xf numFmtId="0" fontId="6" fillId="19" borderId="1" xfId="0" applyFont="1" applyFill="1" applyBorder="1" applyAlignment="1">
      <alignment horizontal="center" vertical="center" wrapText="1"/>
    </xf>
    <xf numFmtId="9" fontId="13" fillId="18" borderId="1" xfId="0" applyNumberFormat="1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7" fillId="18" borderId="1" xfId="0" applyFont="1" applyFill="1" applyBorder="1" applyAlignment="1">
      <alignment horizontal="center" vertical="center"/>
    </xf>
    <xf numFmtId="0" fontId="18" fillId="17" borderId="2" xfId="0" applyFont="1" applyFill="1" applyBorder="1" applyAlignment="1">
      <alignment horizontal="center" vertical="center"/>
    </xf>
    <xf numFmtId="0" fontId="19" fillId="18" borderId="0" xfId="0" applyFont="1" applyFill="1" applyAlignment="1">
      <alignment horizontal="center" vertical="center"/>
    </xf>
    <xf numFmtId="0" fontId="20" fillId="1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F084C-6821-4C60-96F7-4F0352EF8653}">
  <sheetPr>
    <tabColor rgb="FF833C00"/>
  </sheetPr>
  <dimension ref="A1:AH33"/>
  <sheetViews>
    <sheetView showGridLines="0" tabSelected="1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sqref="A1:T1"/>
    </sheetView>
  </sheetViews>
  <sheetFormatPr defaultColWidth="8.7109375" defaultRowHeight="15" x14ac:dyDescent="0.25"/>
  <cols>
    <col min="1" max="1" width="4" customWidth="1"/>
    <col min="2" max="2" width="14" customWidth="1"/>
    <col min="3" max="3" width="34" customWidth="1"/>
    <col min="4" max="4" width="16" customWidth="1"/>
    <col min="5" max="5" width="10" customWidth="1"/>
    <col min="6" max="9" width="14" customWidth="1"/>
    <col min="10" max="10" width="10" customWidth="1"/>
    <col min="11" max="12" width="12" customWidth="1"/>
    <col min="13" max="13" width="16" customWidth="1"/>
    <col min="14" max="14" width="26" customWidth="1"/>
    <col min="15" max="34" width="4.42578125" customWidth="1"/>
  </cols>
  <sheetData>
    <row r="1" spans="1:34" ht="31.5" customHeight="1" x14ac:dyDescent="0.25">
      <c r="A1" s="62" t="s">
        <v>177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</row>
    <row r="2" spans="1:34" ht="18" customHeight="1" x14ac:dyDescent="0.25">
      <c r="A2" s="61" t="s">
        <v>176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</row>
    <row r="3" spans="1:34" ht="19.5" customHeight="1" x14ac:dyDescent="0.25">
      <c r="A3" s="60" t="s">
        <v>175</v>
      </c>
      <c r="B3" s="60"/>
      <c r="D3" s="59">
        <f>COUNTA(C7:C33)</f>
        <v>27</v>
      </c>
      <c r="F3" s="56">
        <f>COUNTIF(L7:L33,"On Track")</f>
        <v>0</v>
      </c>
      <c r="H3" s="58">
        <f>COUNTIF(L7:L33,"At Risk")</f>
        <v>0</v>
      </c>
      <c r="J3" s="57">
        <f>COUNTIF(L7:L33,"Delayed")</f>
        <v>0</v>
      </c>
      <c r="L3" s="56">
        <f>COUNTIF(L7:L33,"Complete")</f>
        <v>0</v>
      </c>
      <c r="N3" s="55">
        <f>IFERROR(AVERAGE(K7:K33)/100,0)</f>
        <v>0</v>
      </c>
    </row>
    <row r="4" spans="1:34" ht="7.5" customHeight="1" x14ac:dyDescent="0.25"/>
    <row r="5" spans="1:34" ht="39.75" customHeight="1" x14ac:dyDescent="0.25">
      <c r="A5" s="54" t="s">
        <v>174</v>
      </c>
      <c r="B5" s="54" t="s">
        <v>173</v>
      </c>
      <c r="C5" s="54" t="s">
        <v>172</v>
      </c>
      <c r="D5" s="54" t="s">
        <v>171</v>
      </c>
      <c r="E5" s="54" t="s">
        <v>170</v>
      </c>
      <c r="F5" s="54" t="s">
        <v>169</v>
      </c>
      <c r="G5" s="54" t="s">
        <v>168</v>
      </c>
      <c r="H5" s="54" t="s">
        <v>167</v>
      </c>
      <c r="I5" s="54" t="s">
        <v>166</v>
      </c>
      <c r="J5" s="54" t="s">
        <v>165</v>
      </c>
      <c r="K5" s="54" t="s">
        <v>164</v>
      </c>
      <c r="L5" s="54" t="s">
        <v>163</v>
      </c>
      <c r="M5" s="54" t="s">
        <v>162</v>
      </c>
      <c r="N5" s="54" t="s">
        <v>161</v>
      </c>
      <c r="O5" s="53" t="s">
        <v>160</v>
      </c>
      <c r="P5" s="53" t="s">
        <v>159</v>
      </c>
      <c r="Q5" s="53" t="s">
        <v>158</v>
      </c>
      <c r="R5" s="53" t="s">
        <v>157</v>
      </c>
      <c r="S5" s="53" t="s">
        <v>156</v>
      </c>
      <c r="T5" s="53" t="s">
        <v>155</v>
      </c>
      <c r="U5" s="53" t="s">
        <v>154</v>
      </c>
      <c r="V5" s="53" t="s">
        <v>153</v>
      </c>
      <c r="W5" s="53" t="s">
        <v>152</v>
      </c>
      <c r="X5" s="53" t="s">
        <v>151</v>
      </c>
      <c r="Y5" s="53" t="s">
        <v>150</v>
      </c>
      <c r="Z5" s="53" t="s">
        <v>149</v>
      </c>
      <c r="AA5" s="53" t="s">
        <v>148</v>
      </c>
      <c r="AB5" s="53" t="s">
        <v>147</v>
      </c>
      <c r="AC5" s="53" t="s">
        <v>146</v>
      </c>
      <c r="AD5" s="53" t="s">
        <v>145</v>
      </c>
      <c r="AE5" s="53" t="s">
        <v>144</v>
      </c>
      <c r="AF5" s="53" t="s">
        <v>143</v>
      </c>
      <c r="AG5" s="53" t="s">
        <v>142</v>
      </c>
      <c r="AH5" s="53" t="s">
        <v>141</v>
      </c>
    </row>
    <row r="6" spans="1:34" ht="13.5" customHeight="1" x14ac:dyDescent="0.25">
      <c r="O6" s="52" t="s">
        <v>140</v>
      </c>
      <c r="P6" s="52" t="s">
        <v>139</v>
      </c>
      <c r="Q6" s="52" t="s">
        <v>138</v>
      </c>
      <c r="R6" s="52" t="s">
        <v>137</v>
      </c>
      <c r="S6" s="52" t="s">
        <v>136</v>
      </c>
      <c r="T6" s="52" t="s">
        <v>135</v>
      </c>
      <c r="U6" s="52" t="s">
        <v>134</v>
      </c>
      <c r="V6" s="52" t="s">
        <v>133</v>
      </c>
      <c r="W6" s="52" t="s">
        <v>132</v>
      </c>
      <c r="X6" s="52" t="s">
        <v>131</v>
      </c>
      <c r="Y6" s="52" t="s">
        <v>130</v>
      </c>
      <c r="Z6" s="52" t="s">
        <v>129</v>
      </c>
      <c r="AA6" s="52" t="s">
        <v>128</v>
      </c>
      <c r="AB6" s="52" t="s">
        <v>127</v>
      </c>
      <c r="AC6" s="52" t="s">
        <v>126</v>
      </c>
      <c r="AD6" s="52" t="s">
        <v>125</v>
      </c>
      <c r="AE6" s="52" t="s">
        <v>124</v>
      </c>
      <c r="AF6" s="52" t="s">
        <v>123</v>
      </c>
      <c r="AG6" s="52" t="s">
        <v>122</v>
      </c>
      <c r="AH6" s="52" t="s">
        <v>121</v>
      </c>
    </row>
    <row r="7" spans="1:34" ht="30" customHeight="1" x14ac:dyDescent="0.25">
      <c r="A7" s="47">
        <v>1</v>
      </c>
      <c r="B7" s="51" t="s">
        <v>105</v>
      </c>
      <c r="C7" s="50" t="s">
        <v>120</v>
      </c>
      <c r="D7" s="49" t="s">
        <v>113</v>
      </c>
      <c r="E7" s="8" t="s">
        <v>6</v>
      </c>
      <c r="F7" s="47" t="s">
        <v>117</v>
      </c>
      <c r="G7" s="47" t="s">
        <v>108</v>
      </c>
      <c r="H7" s="48"/>
      <c r="I7" s="48"/>
      <c r="J7" s="47">
        <v>10</v>
      </c>
      <c r="K7" s="46">
        <v>0</v>
      </c>
      <c r="L7" s="4" t="s">
        <v>3</v>
      </c>
      <c r="M7" s="45"/>
      <c r="N7" s="45" t="s">
        <v>119</v>
      </c>
      <c r="O7" s="44" t="s">
        <v>0</v>
      </c>
      <c r="P7" s="44" t="s">
        <v>0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30" customHeight="1" x14ac:dyDescent="0.25">
      <c r="A8" s="14">
        <v>2</v>
      </c>
      <c r="B8" s="51" t="s">
        <v>105</v>
      </c>
      <c r="C8" s="18" t="s">
        <v>118</v>
      </c>
      <c r="D8" s="17" t="s">
        <v>23</v>
      </c>
      <c r="E8" s="20" t="s">
        <v>32</v>
      </c>
      <c r="F8" s="14" t="s">
        <v>117</v>
      </c>
      <c r="G8" s="14" t="s">
        <v>116</v>
      </c>
      <c r="H8" s="15"/>
      <c r="I8" s="15"/>
      <c r="J8" s="14">
        <v>14</v>
      </c>
      <c r="K8" s="13">
        <v>0</v>
      </c>
      <c r="L8" s="4" t="s">
        <v>3</v>
      </c>
      <c r="M8" s="12" t="s">
        <v>112</v>
      </c>
      <c r="N8" s="12" t="s">
        <v>115</v>
      </c>
      <c r="O8" s="44" t="s">
        <v>0</v>
      </c>
      <c r="P8" s="44" t="s">
        <v>0</v>
      </c>
      <c r="Q8" s="44" t="s">
        <v>0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30" customHeight="1" x14ac:dyDescent="0.25">
      <c r="A9" s="47">
        <v>3</v>
      </c>
      <c r="B9" s="51" t="s">
        <v>105</v>
      </c>
      <c r="C9" s="50" t="s">
        <v>114</v>
      </c>
      <c r="D9" s="49" t="s">
        <v>113</v>
      </c>
      <c r="E9" s="8" t="s">
        <v>6</v>
      </c>
      <c r="F9" s="47" t="s">
        <v>108</v>
      </c>
      <c r="G9" s="47" t="s">
        <v>103</v>
      </c>
      <c r="H9" s="48"/>
      <c r="I9" s="48"/>
      <c r="J9" s="47">
        <v>10</v>
      </c>
      <c r="K9" s="46">
        <v>0</v>
      </c>
      <c r="L9" s="4" t="s">
        <v>3</v>
      </c>
      <c r="M9" s="45" t="s">
        <v>112</v>
      </c>
      <c r="N9" s="45" t="s">
        <v>111</v>
      </c>
      <c r="O9" s="2"/>
      <c r="P9" s="44" t="s">
        <v>0</v>
      </c>
      <c r="Q9" s="44" t="s">
        <v>0</v>
      </c>
      <c r="R9" s="44" t="s">
        <v>0</v>
      </c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30" customHeight="1" x14ac:dyDescent="0.25">
      <c r="A10" s="14">
        <v>4</v>
      </c>
      <c r="B10" s="51" t="s">
        <v>105</v>
      </c>
      <c r="C10" s="18" t="s">
        <v>110</v>
      </c>
      <c r="D10" s="17" t="s">
        <v>109</v>
      </c>
      <c r="E10" s="8" t="s">
        <v>6</v>
      </c>
      <c r="F10" s="14" t="s">
        <v>108</v>
      </c>
      <c r="G10" s="14" t="s">
        <v>103</v>
      </c>
      <c r="H10" s="15"/>
      <c r="I10" s="15"/>
      <c r="J10" s="14">
        <v>7</v>
      </c>
      <c r="K10" s="13">
        <v>0</v>
      </c>
      <c r="L10" s="4" t="s">
        <v>3</v>
      </c>
      <c r="M10" s="12" t="s">
        <v>107</v>
      </c>
      <c r="N10" s="12" t="s">
        <v>106</v>
      </c>
      <c r="O10" s="2"/>
      <c r="P10" s="44" t="s">
        <v>0</v>
      </c>
      <c r="Q10" s="44" t="s">
        <v>0</v>
      </c>
      <c r="R10" s="44" t="s">
        <v>0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30" customHeight="1" x14ac:dyDescent="0.25">
      <c r="A11" s="47">
        <v>5</v>
      </c>
      <c r="B11" s="51" t="s">
        <v>105</v>
      </c>
      <c r="C11" s="50" t="s">
        <v>104</v>
      </c>
      <c r="D11" s="49" t="s">
        <v>7</v>
      </c>
      <c r="E11" s="20" t="s">
        <v>32</v>
      </c>
      <c r="F11" s="47" t="s">
        <v>103</v>
      </c>
      <c r="G11" s="47" t="s">
        <v>103</v>
      </c>
      <c r="H11" s="48"/>
      <c r="I11" s="48"/>
      <c r="J11" s="47">
        <v>2</v>
      </c>
      <c r="K11" s="46">
        <v>0</v>
      </c>
      <c r="L11" s="4" t="s">
        <v>3</v>
      </c>
      <c r="M11" s="45" t="s">
        <v>102</v>
      </c>
      <c r="N11" s="45" t="s">
        <v>101</v>
      </c>
      <c r="O11" s="2"/>
      <c r="P11" s="2"/>
      <c r="Q11" s="2"/>
      <c r="R11" s="44" t="s">
        <v>10</v>
      </c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30" customHeight="1" x14ac:dyDescent="0.25">
      <c r="A12" s="14">
        <v>6</v>
      </c>
      <c r="B12" s="37" t="s">
        <v>86</v>
      </c>
      <c r="C12" s="18" t="s">
        <v>100</v>
      </c>
      <c r="D12" s="17" t="s">
        <v>23</v>
      </c>
      <c r="E12" s="20" t="s">
        <v>32</v>
      </c>
      <c r="F12" s="14" t="s">
        <v>93</v>
      </c>
      <c r="G12" s="14" t="s">
        <v>82</v>
      </c>
      <c r="H12" s="15"/>
      <c r="I12" s="15"/>
      <c r="J12" s="14">
        <v>21</v>
      </c>
      <c r="K12" s="13">
        <v>0</v>
      </c>
      <c r="L12" s="4" t="s">
        <v>3</v>
      </c>
      <c r="M12" s="12" t="s">
        <v>96</v>
      </c>
      <c r="N12" s="12" t="s">
        <v>99</v>
      </c>
      <c r="O12" s="2"/>
      <c r="P12" s="2"/>
      <c r="Q12" s="2"/>
      <c r="R12" s="2"/>
      <c r="S12" s="36" t="s">
        <v>0</v>
      </c>
      <c r="T12" s="36" t="s">
        <v>0</v>
      </c>
      <c r="U12" s="36" t="s">
        <v>0</v>
      </c>
      <c r="V12" s="36" t="s">
        <v>0</v>
      </c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30" customHeight="1" x14ac:dyDescent="0.25">
      <c r="A13" s="40">
        <v>7</v>
      </c>
      <c r="B13" s="37" t="s">
        <v>86</v>
      </c>
      <c r="C13" s="43" t="s">
        <v>98</v>
      </c>
      <c r="D13" s="42" t="s">
        <v>97</v>
      </c>
      <c r="E13" s="20" t="s">
        <v>32</v>
      </c>
      <c r="F13" s="40" t="s">
        <v>93</v>
      </c>
      <c r="G13" s="40" t="s">
        <v>89</v>
      </c>
      <c r="H13" s="41"/>
      <c r="I13" s="41"/>
      <c r="J13" s="40">
        <v>7</v>
      </c>
      <c r="K13" s="39">
        <v>0</v>
      </c>
      <c r="L13" s="4" t="s">
        <v>3</v>
      </c>
      <c r="M13" s="38" t="s">
        <v>96</v>
      </c>
      <c r="N13" s="38" t="s">
        <v>95</v>
      </c>
      <c r="O13" s="2"/>
      <c r="P13" s="2"/>
      <c r="Q13" s="2"/>
      <c r="R13" s="2"/>
      <c r="S13" s="36" t="s">
        <v>0</v>
      </c>
      <c r="T13" s="36" t="s">
        <v>0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30" customHeight="1" x14ac:dyDescent="0.25">
      <c r="A14" s="14">
        <v>8</v>
      </c>
      <c r="B14" s="37" t="s">
        <v>86</v>
      </c>
      <c r="C14" s="18" t="s">
        <v>94</v>
      </c>
      <c r="D14" s="17" t="s">
        <v>53</v>
      </c>
      <c r="E14" s="8" t="s">
        <v>6</v>
      </c>
      <c r="F14" s="14" t="s">
        <v>93</v>
      </c>
      <c r="G14" s="14" t="s">
        <v>83</v>
      </c>
      <c r="H14" s="15"/>
      <c r="I14" s="15"/>
      <c r="J14" s="14">
        <v>10</v>
      </c>
      <c r="K14" s="13">
        <v>0</v>
      </c>
      <c r="L14" s="4" t="s">
        <v>3</v>
      </c>
      <c r="M14" s="12" t="s">
        <v>92</v>
      </c>
      <c r="N14" s="12" t="s">
        <v>91</v>
      </c>
      <c r="O14" s="2"/>
      <c r="P14" s="2"/>
      <c r="Q14" s="2"/>
      <c r="R14" s="2"/>
      <c r="S14" s="36" t="s">
        <v>0</v>
      </c>
      <c r="T14" s="36" t="s">
        <v>0</v>
      </c>
      <c r="U14" s="36" t="s">
        <v>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30" customHeight="1" x14ac:dyDescent="0.25">
      <c r="A15" s="40">
        <v>9</v>
      </c>
      <c r="B15" s="37" t="s">
        <v>86</v>
      </c>
      <c r="C15" s="43" t="s">
        <v>90</v>
      </c>
      <c r="D15" s="42" t="s">
        <v>23</v>
      </c>
      <c r="E15" s="8" t="s">
        <v>6</v>
      </c>
      <c r="F15" s="40" t="s">
        <v>89</v>
      </c>
      <c r="G15" s="40" t="s">
        <v>83</v>
      </c>
      <c r="H15" s="41"/>
      <c r="I15" s="41"/>
      <c r="J15" s="40">
        <v>5</v>
      </c>
      <c r="K15" s="39">
        <v>0</v>
      </c>
      <c r="L15" s="4" t="s">
        <v>3</v>
      </c>
      <c r="M15" s="38" t="s">
        <v>88</v>
      </c>
      <c r="N15" s="38" t="s">
        <v>87</v>
      </c>
      <c r="O15" s="2"/>
      <c r="P15" s="2"/>
      <c r="Q15" s="2"/>
      <c r="R15" s="2"/>
      <c r="S15" s="2"/>
      <c r="T15" s="36" t="s">
        <v>0</v>
      </c>
      <c r="U15" s="36" t="s">
        <v>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30" customHeight="1" x14ac:dyDescent="0.25">
      <c r="A16" s="14">
        <v>10</v>
      </c>
      <c r="B16" s="37" t="s">
        <v>86</v>
      </c>
      <c r="C16" s="18" t="s">
        <v>85</v>
      </c>
      <c r="D16" s="17" t="s">
        <v>84</v>
      </c>
      <c r="E16" s="20" t="s">
        <v>32</v>
      </c>
      <c r="F16" s="14" t="s">
        <v>83</v>
      </c>
      <c r="G16" s="14" t="s">
        <v>82</v>
      </c>
      <c r="H16" s="15"/>
      <c r="I16" s="15"/>
      <c r="J16" s="14">
        <v>5</v>
      </c>
      <c r="K16" s="13">
        <v>0</v>
      </c>
      <c r="L16" s="4" t="s">
        <v>3</v>
      </c>
      <c r="M16" s="12" t="s">
        <v>81</v>
      </c>
      <c r="N16" s="12" t="s">
        <v>80</v>
      </c>
      <c r="O16" s="2"/>
      <c r="P16" s="2"/>
      <c r="Q16" s="2"/>
      <c r="R16" s="2"/>
      <c r="S16" s="2"/>
      <c r="T16" s="2"/>
      <c r="U16" s="36" t="s">
        <v>0</v>
      </c>
      <c r="V16" s="36" t="s">
        <v>0</v>
      </c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30" customHeight="1" x14ac:dyDescent="0.25">
      <c r="A17" s="32">
        <v>11</v>
      </c>
      <c r="B17" s="29" t="s">
        <v>60</v>
      </c>
      <c r="C17" s="35" t="s">
        <v>79</v>
      </c>
      <c r="D17" s="34" t="s">
        <v>18</v>
      </c>
      <c r="E17" s="20" t="s">
        <v>32</v>
      </c>
      <c r="F17" s="32" t="s">
        <v>78</v>
      </c>
      <c r="G17" s="32" t="s">
        <v>74</v>
      </c>
      <c r="H17" s="33"/>
      <c r="I17" s="33"/>
      <c r="J17" s="32">
        <v>7</v>
      </c>
      <c r="K17" s="31">
        <v>0</v>
      </c>
      <c r="L17" s="4" t="s">
        <v>3</v>
      </c>
      <c r="M17" s="30" t="s">
        <v>77</v>
      </c>
      <c r="N17" s="30" t="s">
        <v>76</v>
      </c>
      <c r="O17" s="2"/>
      <c r="P17" s="2"/>
      <c r="Q17" s="2"/>
      <c r="R17" s="2"/>
      <c r="S17" s="2"/>
      <c r="T17" s="2"/>
      <c r="U17" s="2"/>
      <c r="V17" s="2"/>
      <c r="W17" s="28" t="s">
        <v>0</v>
      </c>
      <c r="X17" s="28" t="s">
        <v>0</v>
      </c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30" customHeight="1" x14ac:dyDescent="0.25">
      <c r="A18" s="14">
        <v>12</v>
      </c>
      <c r="B18" s="29" t="s">
        <v>60</v>
      </c>
      <c r="C18" s="18" t="s">
        <v>75</v>
      </c>
      <c r="D18" s="17" t="s">
        <v>23</v>
      </c>
      <c r="E18" s="20" t="s">
        <v>32</v>
      </c>
      <c r="F18" s="14" t="s">
        <v>74</v>
      </c>
      <c r="G18" s="14" t="s">
        <v>66</v>
      </c>
      <c r="H18" s="15"/>
      <c r="I18" s="15"/>
      <c r="J18" s="14">
        <v>3</v>
      </c>
      <c r="K18" s="13">
        <v>0</v>
      </c>
      <c r="L18" s="4" t="s">
        <v>3</v>
      </c>
      <c r="M18" s="12" t="s">
        <v>73</v>
      </c>
      <c r="N18" s="12" t="s">
        <v>72</v>
      </c>
      <c r="O18" s="2"/>
      <c r="P18" s="2"/>
      <c r="Q18" s="2"/>
      <c r="R18" s="2"/>
      <c r="S18" s="2"/>
      <c r="T18" s="2"/>
      <c r="U18" s="2"/>
      <c r="V18" s="2"/>
      <c r="W18" s="2"/>
      <c r="X18" s="28" t="s">
        <v>0</v>
      </c>
      <c r="Y18" s="28" t="s">
        <v>0</v>
      </c>
      <c r="Z18" s="2"/>
      <c r="AA18" s="2"/>
      <c r="AB18" s="2"/>
      <c r="AC18" s="2"/>
      <c r="AD18" s="2"/>
      <c r="AE18" s="2"/>
      <c r="AF18" s="2"/>
      <c r="AG18" s="2"/>
      <c r="AH18" s="2"/>
    </row>
    <row r="19" spans="1:34" ht="30" customHeight="1" x14ac:dyDescent="0.25">
      <c r="A19" s="32">
        <v>13</v>
      </c>
      <c r="B19" s="29" t="s">
        <v>60</v>
      </c>
      <c r="C19" s="35" t="s">
        <v>71</v>
      </c>
      <c r="D19" s="34" t="s">
        <v>70</v>
      </c>
      <c r="E19" s="20" t="s">
        <v>32</v>
      </c>
      <c r="F19" s="32" t="s">
        <v>66</v>
      </c>
      <c r="G19" s="32" t="s">
        <v>66</v>
      </c>
      <c r="H19" s="33"/>
      <c r="I19" s="33"/>
      <c r="J19" s="32">
        <v>2</v>
      </c>
      <c r="K19" s="31">
        <v>0</v>
      </c>
      <c r="L19" s="4" t="s">
        <v>3</v>
      </c>
      <c r="M19" s="30" t="s">
        <v>65</v>
      </c>
      <c r="N19" s="30" t="s">
        <v>69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8" t="s">
        <v>10</v>
      </c>
      <c r="Z19" s="2"/>
      <c r="AA19" s="2"/>
      <c r="AB19" s="2"/>
      <c r="AC19" s="2"/>
      <c r="AD19" s="2"/>
      <c r="AE19" s="2"/>
      <c r="AF19" s="2"/>
      <c r="AG19" s="2"/>
      <c r="AH19" s="2"/>
    </row>
    <row r="20" spans="1:34" ht="30" customHeight="1" x14ac:dyDescent="0.25">
      <c r="A20" s="14">
        <v>14</v>
      </c>
      <c r="B20" s="29" t="s">
        <v>60</v>
      </c>
      <c r="C20" s="18" t="s">
        <v>68</v>
      </c>
      <c r="D20" s="17" t="s">
        <v>67</v>
      </c>
      <c r="E20" s="8" t="s">
        <v>6</v>
      </c>
      <c r="F20" s="14" t="s">
        <v>66</v>
      </c>
      <c r="G20" s="14" t="s">
        <v>57</v>
      </c>
      <c r="H20" s="15"/>
      <c r="I20" s="15"/>
      <c r="J20" s="14">
        <v>5</v>
      </c>
      <c r="K20" s="13">
        <v>0</v>
      </c>
      <c r="L20" s="4" t="s">
        <v>3</v>
      </c>
      <c r="M20" s="12" t="s">
        <v>65</v>
      </c>
      <c r="N20" s="12" t="s">
        <v>64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8" t="s">
        <v>0</v>
      </c>
      <c r="Z20" s="28" t="s">
        <v>0</v>
      </c>
      <c r="AA20" s="2"/>
      <c r="AB20" s="2"/>
      <c r="AC20" s="2"/>
      <c r="AD20" s="2"/>
      <c r="AE20" s="2"/>
      <c r="AF20" s="2"/>
      <c r="AG20" s="2"/>
      <c r="AH20" s="2"/>
    </row>
    <row r="21" spans="1:34" ht="30" customHeight="1" x14ac:dyDescent="0.25">
      <c r="A21" s="32">
        <v>15</v>
      </c>
      <c r="B21" s="29" t="s">
        <v>60</v>
      </c>
      <c r="C21" s="35" t="s">
        <v>63</v>
      </c>
      <c r="D21" s="34" t="s">
        <v>23</v>
      </c>
      <c r="E21" s="8" t="s">
        <v>6</v>
      </c>
      <c r="F21" s="32" t="s">
        <v>57</v>
      </c>
      <c r="G21" s="32" t="s">
        <v>57</v>
      </c>
      <c r="H21" s="33"/>
      <c r="I21" s="33"/>
      <c r="J21" s="32">
        <v>3</v>
      </c>
      <c r="K21" s="31">
        <v>0</v>
      </c>
      <c r="L21" s="4" t="s">
        <v>3</v>
      </c>
      <c r="M21" s="30" t="s">
        <v>62</v>
      </c>
      <c r="N21" s="30" t="s">
        <v>61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8" t="s">
        <v>10</v>
      </c>
      <c r="AA21" s="2"/>
      <c r="AB21" s="2"/>
      <c r="AC21" s="2"/>
      <c r="AD21" s="2"/>
      <c r="AE21" s="2"/>
      <c r="AF21" s="2"/>
      <c r="AG21" s="2"/>
      <c r="AH21" s="2"/>
    </row>
    <row r="22" spans="1:34" ht="30" customHeight="1" x14ac:dyDescent="0.25">
      <c r="A22" s="14">
        <v>16</v>
      </c>
      <c r="B22" s="29" t="s">
        <v>60</v>
      </c>
      <c r="C22" s="18" t="s">
        <v>59</v>
      </c>
      <c r="D22" s="17" t="s">
        <v>58</v>
      </c>
      <c r="E22" s="20" t="s">
        <v>32</v>
      </c>
      <c r="F22" s="14" t="s">
        <v>57</v>
      </c>
      <c r="G22" s="14" t="s">
        <v>57</v>
      </c>
      <c r="H22" s="15"/>
      <c r="I22" s="15"/>
      <c r="J22" s="14">
        <v>1</v>
      </c>
      <c r="K22" s="13">
        <v>0</v>
      </c>
      <c r="L22" s="4" t="s">
        <v>3</v>
      </c>
      <c r="M22" s="12" t="s">
        <v>56</v>
      </c>
      <c r="N22" s="12" t="s">
        <v>55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8" t="s">
        <v>10</v>
      </c>
      <c r="AA22" s="2"/>
      <c r="AB22" s="2"/>
      <c r="AC22" s="2"/>
      <c r="AD22" s="2"/>
      <c r="AE22" s="2"/>
      <c r="AF22" s="2"/>
      <c r="AG22" s="2"/>
      <c r="AH22" s="2"/>
    </row>
    <row r="23" spans="1:34" ht="30" customHeight="1" x14ac:dyDescent="0.25">
      <c r="A23" s="24">
        <v>17</v>
      </c>
      <c r="B23" s="21" t="s">
        <v>35</v>
      </c>
      <c r="C23" s="27" t="s">
        <v>54</v>
      </c>
      <c r="D23" s="26" t="s">
        <v>53</v>
      </c>
      <c r="E23" s="8" t="s">
        <v>6</v>
      </c>
      <c r="F23" s="24" t="s">
        <v>45</v>
      </c>
      <c r="G23" s="24" t="s">
        <v>45</v>
      </c>
      <c r="H23" s="25"/>
      <c r="I23" s="25"/>
      <c r="J23" s="24">
        <v>1</v>
      </c>
      <c r="K23" s="23">
        <v>0</v>
      </c>
      <c r="L23" s="4" t="s">
        <v>3</v>
      </c>
      <c r="M23" s="22" t="s">
        <v>52</v>
      </c>
      <c r="N23" s="22" t="s">
        <v>51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19" t="s">
        <v>10</v>
      </c>
      <c r="AB23" s="2"/>
      <c r="AC23" s="2"/>
      <c r="AD23" s="2"/>
      <c r="AE23" s="2"/>
      <c r="AF23" s="2"/>
      <c r="AG23" s="2"/>
      <c r="AH23" s="2"/>
    </row>
    <row r="24" spans="1:34" ht="30" customHeight="1" x14ac:dyDescent="0.25">
      <c r="A24" s="14">
        <v>18</v>
      </c>
      <c r="B24" s="21" t="s">
        <v>35</v>
      </c>
      <c r="C24" s="18" t="s">
        <v>50</v>
      </c>
      <c r="D24" s="17" t="s">
        <v>23</v>
      </c>
      <c r="E24" s="20" t="s">
        <v>32</v>
      </c>
      <c r="F24" s="14" t="s">
        <v>45</v>
      </c>
      <c r="G24" s="14" t="s">
        <v>45</v>
      </c>
      <c r="H24" s="15"/>
      <c r="I24" s="15"/>
      <c r="J24" s="14">
        <v>2</v>
      </c>
      <c r="K24" s="13">
        <v>0</v>
      </c>
      <c r="L24" s="4" t="s">
        <v>3</v>
      </c>
      <c r="M24" s="12" t="s">
        <v>49</v>
      </c>
      <c r="N24" s="12" t="s">
        <v>48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19" t="s">
        <v>10</v>
      </c>
      <c r="AB24" s="2"/>
      <c r="AC24" s="2"/>
      <c r="AD24" s="2"/>
      <c r="AE24" s="2"/>
      <c r="AF24" s="2"/>
      <c r="AG24" s="2"/>
      <c r="AH24" s="2"/>
    </row>
    <row r="25" spans="1:34" ht="30" customHeight="1" x14ac:dyDescent="0.25">
      <c r="A25" s="24">
        <v>19</v>
      </c>
      <c r="B25" s="21" t="s">
        <v>35</v>
      </c>
      <c r="C25" s="27" t="s">
        <v>47</v>
      </c>
      <c r="D25" s="26" t="s">
        <v>46</v>
      </c>
      <c r="E25" s="20" t="s">
        <v>32</v>
      </c>
      <c r="F25" s="24" t="s">
        <v>45</v>
      </c>
      <c r="G25" s="24" t="s">
        <v>41</v>
      </c>
      <c r="H25" s="25"/>
      <c r="I25" s="25"/>
      <c r="J25" s="24">
        <v>1</v>
      </c>
      <c r="K25" s="23">
        <v>0</v>
      </c>
      <c r="L25" s="4" t="s">
        <v>3</v>
      </c>
      <c r="M25" s="22" t="s">
        <v>44</v>
      </c>
      <c r="N25" s="22" t="s">
        <v>43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19" t="s">
        <v>0</v>
      </c>
      <c r="AB25" s="19" t="s">
        <v>0</v>
      </c>
      <c r="AC25" s="2"/>
      <c r="AD25" s="2"/>
      <c r="AE25" s="2"/>
      <c r="AF25" s="2"/>
      <c r="AG25" s="2"/>
      <c r="AH25" s="2"/>
    </row>
    <row r="26" spans="1:34" ht="30" customHeight="1" x14ac:dyDescent="0.25">
      <c r="A26" s="14">
        <v>20</v>
      </c>
      <c r="B26" s="21" t="s">
        <v>35</v>
      </c>
      <c r="C26" s="18" t="s">
        <v>42</v>
      </c>
      <c r="D26" s="17" t="s">
        <v>23</v>
      </c>
      <c r="E26" s="20" t="s">
        <v>32</v>
      </c>
      <c r="F26" s="14" t="s">
        <v>41</v>
      </c>
      <c r="G26" s="14" t="s">
        <v>41</v>
      </c>
      <c r="H26" s="15"/>
      <c r="I26" s="15"/>
      <c r="J26" s="14">
        <v>2</v>
      </c>
      <c r="K26" s="13">
        <v>0</v>
      </c>
      <c r="L26" s="4" t="s">
        <v>3</v>
      </c>
      <c r="M26" s="12" t="s">
        <v>40</v>
      </c>
      <c r="N26" s="12" t="s">
        <v>39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19" t="s">
        <v>10</v>
      </c>
      <c r="AC26" s="2"/>
      <c r="AD26" s="2"/>
      <c r="AE26" s="2"/>
      <c r="AF26" s="2"/>
      <c r="AG26" s="2"/>
      <c r="AH26" s="2"/>
    </row>
    <row r="27" spans="1:34" ht="30" customHeight="1" x14ac:dyDescent="0.25">
      <c r="A27" s="24">
        <v>21</v>
      </c>
      <c r="B27" s="21" t="s">
        <v>35</v>
      </c>
      <c r="C27" s="27" t="s">
        <v>38</v>
      </c>
      <c r="D27" s="26" t="s">
        <v>23</v>
      </c>
      <c r="E27" s="20" t="s">
        <v>32</v>
      </c>
      <c r="F27" s="24" t="s">
        <v>31</v>
      </c>
      <c r="G27" s="24" t="s">
        <v>31</v>
      </c>
      <c r="H27" s="25"/>
      <c r="I27" s="25"/>
      <c r="J27" s="24">
        <v>2</v>
      </c>
      <c r="K27" s="23">
        <v>0</v>
      </c>
      <c r="L27" s="4" t="s">
        <v>3</v>
      </c>
      <c r="M27" s="22" t="s">
        <v>37</v>
      </c>
      <c r="N27" s="22" t="s">
        <v>36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19" t="s">
        <v>10</v>
      </c>
      <c r="AD27" s="2"/>
      <c r="AE27" s="2"/>
      <c r="AF27" s="2"/>
      <c r="AG27" s="2"/>
      <c r="AH27" s="2"/>
    </row>
    <row r="28" spans="1:34" ht="30" customHeight="1" x14ac:dyDescent="0.25">
      <c r="A28" s="14">
        <v>22</v>
      </c>
      <c r="B28" s="21" t="s">
        <v>35</v>
      </c>
      <c r="C28" s="18" t="s">
        <v>34</v>
      </c>
      <c r="D28" s="17" t="s">
        <v>33</v>
      </c>
      <c r="E28" s="20" t="s">
        <v>32</v>
      </c>
      <c r="F28" s="14" t="s">
        <v>31</v>
      </c>
      <c r="G28" s="14" t="s">
        <v>27</v>
      </c>
      <c r="H28" s="15"/>
      <c r="I28" s="15"/>
      <c r="J28" s="14">
        <v>2</v>
      </c>
      <c r="K28" s="13">
        <v>0</v>
      </c>
      <c r="L28" s="4" t="s">
        <v>3</v>
      </c>
      <c r="M28" s="12" t="s">
        <v>30</v>
      </c>
      <c r="N28" s="12" t="s">
        <v>29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19" t="s">
        <v>0</v>
      </c>
      <c r="AD28" s="19" t="s">
        <v>0</v>
      </c>
      <c r="AE28" s="2"/>
      <c r="AF28" s="2"/>
      <c r="AG28" s="2"/>
      <c r="AH28" s="2"/>
    </row>
    <row r="29" spans="1:34" ht="30" customHeight="1" x14ac:dyDescent="0.25">
      <c r="A29" s="6">
        <v>23</v>
      </c>
      <c r="B29" s="11" t="s">
        <v>9</v>
      </c>
      <c r="C29" s="10" t="s">
        <v>28</v>
      </c>
      <c r="D29" s="9" t="s">
        <v>23</v>
      </c>
      <c r="E29" s="8" t="s">
        <v>6</v>
      </c>
      <c r="F29" s="6" t="s">
        <v>27</v>
      </c>
      <c r="G29" s="6" t="s">
        <v>22</v>
      </c>
      <c r="H29" s="7"/>
      <c r="I29" s="7"/>
      <c r="J29" s="6">
        <v>7</v>
      </c>
      <c r="K29" s="5">
        <v>0</v>
      </c>
      <c r="L29" s="4" t="s">
        <v>3</v>
      </c>
      <c r="M29" s="3" t="s">
        <v>26</v>
      </c>
      <c r="N29" s="3" t="s">
        <v>25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1" t="s">
        <v>0</v>
      </c>
      <c r="AE29" s="1" t="s">
        <v>0</v>
      </c>
      <c r="AF29" s="2"/>
      <c r="AG29" s="2"/>
      <c r="AH29" s="2"/>
    </row>
    <row r="30" spans="1:34" ht="30" customHeight="1" x14ac:dyDescent="0.25">
      <c r="A30" s="14">
        <v>24</v>
      </c>
      <c r="B30" s="11" t="s">
        <v>9</v>
      </c>
      <c r="C30" s="18" t="s">
        <v>24</v>
      </c>
      <c r="D30" s="17" t="s">
        <v>23</v>
      </c>
      <c r="E30" s="8" t="s">
        <v>6</v>
      </c>
      <c r="F30" s="14" t="s">
        <v>22</v>
      </c>
      <c r="G30" s="14" t="s">
        <v>17</v>
      </c>
      <c r="H30" s="15"/>
      <c r="I30" s="15"/>
      <c r="J30" s="14">
        <v>7</v>
      </c>
      <c r="K30" s="13">
        <v>0</v>
      </c>
      <c r="L30" s="4" t="s">
        <v>3</v>
      </c>
      <c r="M30" s="12" t="s">
        <v>21</v>
      </c>
      <c r="N30" s="12" t="s">
        <v>20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1" t="s">
        <v>0</v>
      </c>
      <c r="AF30" s="1" t="s">
        <v>0</v>
      </c>
      <c r="AG30" s="2"/>
      <c r="AH30" s="2"/>
    </row>
    <row r="31" spans="1:34" ht="30" customHeight="1" x14ac:dyDescent="0.25">
      <c r="A31" s="6">
        <v>25</v>
      </c>
      <c r="B31" s="11" t="s">
        <v>9</v>
      </c>
      <c r="C31" s="10" t="s">
        <v>19</v>
      </c>
      <c r="D31" s="9" t="s">
        <v>18</v>
      </c>
      <c r="E31" s="8" t="s">
        <v>6</v>
      </c>
      <c r="F31" s="6" t="s">
        <v>17</v>
      </c>
      <c r="G31" s="6" t="s">
        <v>5</v>
      </c>
      <c r="H31" s="7"/>
      <c r="I31" s="7"/>
      <c r="J31" s="6">
        <v>5</v>
      </c>
      <c r="K31" s="5">
        <v>0</v>
      </c>
      <c r="L31" s="4" t="s">
        <v>3</v>
      </c>
      <c r="M31" s="3" t="s">
        <v>16</v>
      </c>
      <c r="N31" s="3" t="s">
        <v>15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1" t="s">
        <v>0</v>
      </c>
      <c r="AG31" s="1" t="s">
        <v>0</v>
      </c>
      <c r="AH31" s="2"/>
    </row>
    <row r="32" spans="1:34" ht="30" customHeight="1" x14ac:dyDescent="0.25">
      <c r="A32" s="14">
        <v>26</v>
      </c>
      <c r="B32" s="11" t="s">
        <v>9</v>
      </c>
      <c r="C32" s="18" t="s">
        <v>14</v>
      </c>
      <c r="D32" s="17" t="s">
        <v>7</v>
      </c>
      <c r="E32" s="16" t="s">
        <v>13</v>
      </c>
      <c r="F32" s="14" t="s">
        <v>5</v>
      </c>
      <c r="G32" s="14" t="s">
        <v>5</v>
      </c>
      <c r="H32" s="15"/>
      <c r="I32" s="15"/>
      <c r="J32" s="14">
        <v>2</v>
      </c>
      <c r="K32" s="13">
        <v>0</v>
      </c>
      <c r="L32" s="4" t="s">
        <v>3</v>
      </c>
      <c r="M32" s="12" t="s">
        <v>12</v>
      </c>
      <c r="N32" s="12" t="s">
        <v>11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1" t="s">
        <v>10</v>
      </c>
      <c r="AH32" s="2"/>
    </row>
    <row r="33" spans="1:34" ht="30" customHeight="1" x14ac:dyDescent="0.25">
      <c r="A33" s="6">
        <v>27</v>
      </c>
      <c r="B33" s="11" t="s">
        <v>9</v>
      </c>
      <c r="C33" s="10" t="s">
        <v>8</v>
      </c>
      <c r="D33" s="9" t="s">
        <v>7</v>
      </c>
      <c r="E33" s="8" t="s">
        <v>6</v>
      </c>
      <c r="F33" s="6" t="s">
        <v>5</v>
      </c>
      <c r="G33" s="6" t="s">
        <v>4</v>
      </c>
      <c r="H33" s="7"/>
      <c r="I33" s="7"/>
      <c r="J33" s="6">
        <v>3</v>
      </c>
      <c r="K33" s="5">
        <v>0</v>
      </c>
      <c r="L33" s="4" t="s">
        <v>3</v>
      </c>
      <c r="M33" s="3" t="s">
        <v>2</v>
      </c>
      <c r="N33" s="3" t="s">
        <v>1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1" t="s">
        <v>0</v>
      </c>
      <c r="AH33" s="1" t="s">
        <v>0</v>
      </c>
    </row>
  </sheetData>
  <mergeCells count="3">
    <mergeCell ref="A1:T1"/>
    <mergeCell ref="A2:T2"/>
    <mergeCell ref="A3:B3"/>
  </mergeCells>
  <dataValidations count="2">
    <dataValidation type="list" sqref="E7:E33" xr:uid="{00000000-0002-0000-0300-000001000000}">
      <formula1>"Critical,High,Medium,Low"</formula1>
      <formula2>0</formula2>
    </dataValidation>
    <dataValidation type="list" sqref="L7:L33" xr:uid="{00000000-0002-0000-0300-000000000000}">
      <formula1>"Not Started,In Progress,On Track,At Risk,Delayed,Complete,Blocked"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&amp; Milestones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Ashaki Sorrell</dc:creator>
  <cp:lastModifiedBy>Ashaki Sorrell</cp:lastModifiedBy>
  <dcterms:created xsi:type="dcterms:W3CDTF">2026-02-28T05:37:26Z</dcterms:created>
  <dcterms:modified xsi:type="dcterms:W3CDTF">2026-02-28T05:38:59Z</dcterms:modified>
</cp:coreProperties>
</file>